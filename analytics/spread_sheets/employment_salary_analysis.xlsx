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8" i="1" s="1"/>
  <c r="B9" i="1" l="1"/>
  <c r="D5" i="1" l="1"/>
  <c r="D4" i="1"/>
  <c r="D8" i="1" l="1"/>
  <c r="D9" i="1" s="1"/>
</calcChain>
</file>

<file path=xl/sharedStrings.xml><?xml version="1.0" encoding="utf-8"?>
<sst xmlns="http://schemas.openxmlformats.org/spreadsheetml/2006/main" count="16" uniqueCount="15">
  <si>
    <t>EMPLOYMENT SALARY DETAIL</t>
  </si>
  <si>
    <t>Name</t>
  </si>
  <si>
    <t>Milan</t>
  </si>
  <si>
    <t>EARNING</t>
  </si>
  <si>
    <t>DA</t>
  </si>
  <si>
    <t>HRA</t>
  </si>
  <si>
    <t>Travelling</t>
  </si>
  <si>
    <t>Mobile</t>
  </si>
  <si>
    <t>Total</t>
  </si>
  <si>
    <t>GROSS SALARY</t>
  </si>
  <si>
    <t>NET SALARY</t>
  </si>
  <si>
    <t>EMP Salary</t>
  </si>
  <si>
    <t>DEDUCTION</t>
  </si>
  <si>
    <t>PF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</si>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</sst>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9" sqref="E9"/>
    </sheetView>
  </sheetViews>
  <sheetFormatPr defaultRowHeight="14.4" x14ac:dyDescent="0.3"/>
  <cols>
    <col min="1" max="1" width="16.44140625" customWidth="1"/>
    <col min="3" max="3" width="14" customWidth="1"/>
  </cols>
  <sheetData>
    <row r="1" spans="1:4" ht="17.399999999999999" x14ac:dyDescent="0.3">
      <c r="A1" s="4" t="s">
        <v>0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11</v>
      </c>
      <c r="D2" s="1">
        <v>15000</v>
      </c>
    </row>
    <row r="3" spans="1:4" x14ac:dyDescent="0.3">
      <c r="A3" s="5" t="s">
        <v>3</v>
      </c>
      <c r="B3" s="5"/>
      <c r="C3" s="5" t="s">
        <v>12</v>
      </c>
      <c r="D3" s="5"/>
    </row>
    <row r="4" spans="1:4" x14ac:dyDescent="0.3">
      <c r="A4" s="1" t="s">
        <v>4</v>
      </c>
      <c r="B4" s="1">
        <f>IF(D2 &lt; 5000, D2 * 5%, IF(D2 &lt; 10000, D2 * 7%, IF(D2 &lt; 15000, D2 * 8%, D2 * 10%)))</f>
        <v>1500</v>
      </c>
      <c r="C4" s="1" t="s">
        <v>13</v>
      </c>
      <c r="D4" s="1">
        <f>IF(B9 &lt; 10000, D2 * 6%, IF(B9 &lt; 20000, D2 * 8%, B9 * 10%))</f>
        <v>2025</v>
      </c>
    </row>
    <row r="5" spans="1:4" x14ac:dyDescent="0.3">
      <c r="A5" s="1" t="s">
        <v>5</v>
      </c>
      <c r="B5" s="1">
        <f>IF(D2 &lt; 7000, D2 * 7%, IF(D2 &lt; 12000, D2 * 9%, IF(D2 &lt; 20000, D2 * 10%, D2 * 12%)))</f>
        <v>1500</v>
      </c>
      <c r="C5" s="1" t="s">
        <v>14</v>
      </c>
      <c r="D5" s="1">
        <f>IF(B9 &lt; 8000, D2 * 7%, IF(B9 &lt; 15000, B9 * 9%, B9 * 10%))</f>
        <v>2025</v>
      </c>
    </row>
    <row r="6" spans="1:4" x14ac:dyDescent="0.3">
      <c r="A6" s="1" t="s">
        <v>6</v>
      </c>
      <c r="B6" s="1">
        <f>IF(D2 &lt; 5000, D2 * 5%, IF(D2 &lt; 10000, D2 * 6%, IF(D2 &lt; 15000, D2 * 8%, D2 * 10%)))</f>
        <v>1500</v>
      </c>
      <c r="C6" s="1"/>
      <c r="D6" s="1"/>
    </row>
    <row r="7" spans="1:4" x14ac:dyDescent="0.3">
      <c r="A7" s="1" t="s">
        <v>7</v>
      </c>
      <c r="B7" s="1">
        <f>IF(D2 &lt; 10000, D2 * 2%, D2 * 5%)</f>
        <v>750</v>
      </c>
      <c r="C7" s="1"/>
      <c r="D7" s="1"/>
    </row>
    <row r="8" spans="1:4" x14ac:dyDescent="0.3">
      <c r="A8" s="1" t="s">
        <v>8</v>
      </c>
      <c r="B8" s="1">
        <f>SUM(B4:B7)</f>
        <v>5250</v>
      </c>
      <c r="C8" s="1" t="s">
        <v>8</v>
      </c>
      <c r="D8" s="1">
        <f>SUM(D4:D5)</f>
        <v>4050</v>
      </c>
    </row>
    <row r="9" spans="1:4" ht="15.6" x14ac:dyDescent="0.3">
      <c r="A9" s="2" t="s">
        <v>9</v>
      </c>
      <c r="B9" s="3">
        <f>SUM(D2,B4:B7)</f>
        <v>20250</v>
      </c>
      <c r="C9" s="2" t="s">
        <v>10</v>
      </c>
      <c r="D9" s="3">
        <f>B9-D8</f>
        <v>16200</v>
      </c>
    </row>
  </sheetData>
  <mergeCells count="3">
    <mergeCell ref="A1:D1"/>
    <mergeCell ref="A3:B3"/>
    <mergeCell ref="C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2026-04-29T09:21:19Z</dcterms:modified>
</cp:coreProperties>
</file>