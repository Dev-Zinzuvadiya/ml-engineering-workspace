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Arc_Model_Core\Statistical_Control_Hub\Variance_Analysis\"/>
    </mc:Choice>
  </mc:AlternateContent>
  <bookViews>
    <workbookView xWindow="0" yWindow="0" windowWidth="23040" windowHeight="97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F3" i="1" s="1"/>
  <c r="G3" i="1" s="1"/>
  <c r="B14" i="1"/>
  <c r="B16" i="1"/>
  <c r="C6" i="1" s="1"/>
  <c r="D6" i="1" s="1"/>
  <c r="B15" i="1"/>
  <c r="F6" i="1" l="1"/>
  <c r="G6" i="1" s="1"/>
  <c r="F5" i="1"/>
  <c r="G5" i="1" s="1"/>
  <c r="F10" i="1"/>
  <c r="G10" i="1" s="1"/>
  <c r="F9" i="1"/>
  <c r="G9" i="1" s="1"/>
  <c r="F8" i="1"/>
  <c r="G8" i="1" s="1"/>
  <c r="F4" i="1"/>
  <c r="G4" i="1" s="1"/>
  <c r="F2" i="1"/>
  <c r="G2" i="1" s="1"/>
  <c r="F7" i="1"/>
  <c r="G7" i="1" s="1"/>
  <c r="C9" i="1"/>
  <c r="D9" i="1" s="1"/>
  <c r="C5" i="1"/>
  <c r="D5" i="1" s="1"/>
  <c r="C8" i="1"/>
  <c r="D8" i="1" s="1"/>
  <c r="C4" i="1"/>
  <c r="D4" i="1" s="1"/>
  <c r="C2" i="1"/>
  <c r="D2" i="1" s="1"/>
  <c r="C7" i="1"/>
  <c r="D7" i="1" s="1"/>
  <c r="C3" i="1"/>
  <c r="D3" i="1" s="1"/>
  <c r="C10" i="1"/>
  <c r="D10" i="1" s="1"/>
  <c r="G12" i="1" l="1"/>
  <c r="B21" i="1" s="1"/>
  <c r="D12" i="1"/>
  <c r="B20" i="1" s="1"/>
</calcChain>
</file>

<file path=xl/sharedStrings.xml><?xml version="1.0" encoding="utf-8"?>
<sst xmlns="http://schemas.openxmlformats.org/spreadsheetml/2006/main" count="21" uniqueCount="21">
  <si>
    <t>Values</t>
  </si>
  <si>
    <t>Total sum</t>
  </si>
  <si>
    <t>Average (U)</t>
  </si>
  <si>
    <t>(Xi - U)</t>
  </si>
  <si>
    <t>(Xi - U)2</t>
  </si>
  <si>
    <t>Total Sq sum</t>
  </si>
  <si>
    <t>(N)</t>
  </si>
  <si>
    <t>Po. Variance</t>
  </si>
  <si>
    <t>σ2 = Σ (xi – μ)2 / N</t>
  </si>
  <si>
    <t>Population Variance</t>
  </si>
  <si>
    <t>Sample Variance</t>
  </si>
  <si>
    <t>s2 = Σ(xi – x)2 / (n - 1)</t>
  </si>
  <si>
    <t>Sa. Variance</t>
  </si>
  <si>
    <t>(Xi - X-Bar)</t>
  </si>
  <si>
    <t>(Xi - X-Bar)2</t>
  </si>
  <si>
    <t>X-Bar</t>
  </si>
  <si>
    <t>Total sq sum</t>
  </si>
  <si>
    <t>Population Std</t>
  </si>
  <si>
    <t>√Σ (xi – μ)2 / N</t>
  </si>
  <si>
    <t>Sample Std</t>
  </si>
  <si>
    <t>√Σ (xi – x)2 / (n-1)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</si>
</sst>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workbookViewId="0">
      <selection activeCell="J12" sqref="J12"/>
    </sheetView>
  </sheetViews>
  <sheetFormatPr defaultColWidth="9.109375" defaultRowHeight="14.4" x14ac:dyDescent="0.3"/>
  <cols>
    <col min="1" max="1" width="12" style="1" customWidth="1"/>
    <col min="2" max="2" width="12" style="1" bestFit="1" customWidth="1"/>
    <col min="3" max="3" width="12.6640625" style="1" bestFit="1" customWidth="1"/>
    <col min="4" max="4" width="16.6640625" style="1" bestFit="1" customWidth="1"/>
    <col min="5" max="5" width="16.6640625" style="1" customWidth="1"/>
    <col min="6" max="6" width="12.6640625" style="1" bestFit="1" customWidth="1"/>
    <col min="7" max="7" width="12.6640625" style="1" customWidth="1"/>
    <col min="8" max="8" width="12.6640625" style="1" bestFit="1" customWidth="1"/>
    <col min="9" max="9" width="19.6640625" style="1" bestFit="1" customWidth="1"/>
    <col min="10" max="10" width="12.6640625" style="1" bestFit="1" customWidth="1"/>
    <col min="11" max="12" width="12" style="1" bestFit="1" customWidth="1"/>
    <col min="13" max="16384" width="9.109375" style="1"/>
  </cols>
  <sheetData>
    <row r="1" spans="1:9" x14ac:dyDescent="0.3">
      <c r="A1" s="2" t="s">
        <v>0</v>
      </c>
      <c r="C1" s="2" t="s">
        <v>3</v>
      </c>
      <c r="D1" s="2" t="s">
        <v>4</v>
      </c>
      <c r="E1" s="2"/>
      <c r="F1" s="2" t="s">
        <v>13</v>
      </c>
      <c r="G1" s="2" t="s">
        <v>14</v>
      </c>
      <c r="I1" s="2" t="s">
        <v>9</v>
      </c>
    </row>
    <row r="2" spans="1:9" x14ac:dyDescent="0.3">
      <c r="A2" s="1">
        <v>15</v>
      </c>
      <c r="C2" s="1">
        <f t="shared" ref="C2:C10" si="0">A2 - $B$16</f>
        <v>3.8888888888888893</v>
      </c>
      <c r="D2" s="1">
        <f>POWER(C2, 2)</f>
        <v>15.123456790123459</v>
      </c>
      <c r="F2" s="1">
        <f>A2 - $B$18</f>
        <v>3.8888888888888893</v>
      </c>
      <c r="G2" s="1">
        <f>POWER(F2, 2)</f>
        <v>15.123456790123459</v>
      </c>
      <c r="I2" s="1" t="s">
        <v>8</v>
      </c>
    </row>
    <row r="3" spans="1:9" x14ac:dyDescent="0.3">
      <c r="A3" s="1">
        <v>8</v>
      </c>
      <c r="C3" s="1">
        <f t="shared" si="0"/>
        <v>-3.1111111111111107</v>
      </c>
      <c r="D3" s="1">
        <f t="shared" ref="D3:D10" si="1">POWER(C3, 2)</f>
        <v>9.6790123456790091</v>
      </c>
      <c r="F3" s="1">
        <f t="shared" ref="F3:F10" si="2">A3 - $B$18</f>
        <v>-3.1111111111111107</v>
      </c>
      <c r="G3" s="1">
        <f t="shared" ref="G3:G10" si="3">POWER(F3, 2)</f>
        <v>9.6790123456790091</v>
      </c>
    </row>
    <row r="4" spans="1:9" x14ac:dyDescent="0.3">
      <c r="A4" s="1">
        <v>23</v>
      </c>
      <c r="C4" s="1">
        <f t="shared" si="0"/>
        <v>11.888888888888889</v>
      </c>
      <c r="D4" s="1">
        <f t="shared" si="1"/>
        <v>141.3456790123457</v>
      </c>
      <c r="F4" s="1">
        <f t="shared" si="2"/>
        <v>11.888888888888889</v>
      </c>
      <c r="G4" s="1">
        <f t="shared" si="3"/>
        <v>141.3456790123457</v>
      </c>
      <c r="I4" s="2" t="s">
        <v>10</v>
      </c>
    </row>
    <row r="5" spans="1:9" x14ac:dyDescent="0.3">
      <c r="A5" s="1">
        <v>4</v>
      </c>
      <c r="C5" s="1">
        <f t="shared" si="0"/>
        <v>-7.1111111111111107</v>
      </c>
      <c r="D5" s="1">
        <f t="shared" si="1"/>
        <v>50.567901234567898</v>
      </c>
      <c r="F5" s="1">
        <f t="shared" si="2"/>
        <v>-7.1111111111111107</v>
      </c>
      <c r="G5" s="1">
        <f t="shared" si="3"/>
        <v>50.567901234567898</v>
      </c>
      <c r="I5" s="1" t="s">
        <v>11</v>
      </c>
    </row>
    <row r="6" spans="1:9" x14ac:dyDescent="0.3">
      <c r="A6" s="1">
        <v>3</v>
      </c>
      <c r="C6" s="1">
        <f t="shared" si="0"/>
        <v>-8.1111111111111107</v>
      </c>
      <c r="D6" s="1">
        <f t="shared" si="1"/>
        <v>65.790123456790113</v>
      </c>
      <c r="F6" s="1">
        <f t="shared" si="2"/>
        <v>-8.1111111111111107</v>
      </c>
      <c r="G6" s="1">
        <f t="shared" si="3"/>
        <v>65.790123456790113</v>
      </c>
    </row>
    <row r="7" spans="1:9" x14ac:dyDescent="0.3">
      <c r="A7" s="1">
        <v>2</v>
      </c>
      <c r="C7" s="1">
        <f t="shared" si="0"/>
        <v>-9.1111111111111107</v>
      </c>
      <c r="D7" s="1">
        <f t="shared" si="1"/>
        <v>83.012345679012341</v>
      </c>
      <c r="F7" s="1">
        <f t="shared" si="2"/>
        <v>-9.1111111111111107</v>
      </c>
      <c r="G7" s="1">
        <f t="shared" si="3"/>
        <v>83.012345679012341</v>
      </c>
    </row>
    <row r="8" spans="1:9" x14ac:dyDescent="0.3">
      <c r="A8" s="1">
        <v>10</v>
      </c>
      <c r="C8" s="1">
        <f t="shared" si="0"/>
        <v>-1.1111111111111107</v>
      </c>
      <c r="D8" s="1">
        <f t="shared" si="1"/>
        <v>1.2345679012345669</v>
      </c>
      <c r="F8" s="1">
        <f t="shared" si="2"/>
        <v>-1.1111111111111107</v>
      </c>
      <c r="G8" s="1">
        <f t="shared" si="3"/>
        <v>1.2345679012345669</v>
      </c>
      <c r="I8" s="2" t="s">
        <v>17</v>
      </c>
    </row>
    <row r="9" spans="1:9" x14ac:dyDescent="0.3">
      <c r="A9" s="1">
        <v>16</v>
      </c>
      <c r="C9" s="1">
        <f t="shared" si="0"/>
        <v>4.8888888888888893</v>
      </c>
      <c r="D9" s="1">
        <f t="shared" si="1"/>
        <v>23.901234567901238</v>
      </c>
      <c r="F9" s="1">
        <f t="shared" si="2"/>
        <v>4.8888888888888893</v>
      </c>
      <c r="G9" s="1">
        <f t="shared" si="3"/>
        <v>23.901234567901238</v>
      </c>
      <c r="I9" s="1" t="s">
        <v>18</v>
      </c>
    </row>
    <row r="10" spans="1:9" x14ac:dyDescent="0.3">
      <c r="A10" s="1">
        <v>19</v>
      </c>
      <c r="C10" s="1">
        <f t="shared" si="0"/>
        <v>7.8888888888888893</v>
      </c>
      <c r="D10" s="1">
        <f t="shared" si="1"/>
        <v>62.234567901234577</v>
      </c>
      <c r="F10" s="1">
        <f t="shared" si="2"/>
        <v>7.8888888888888893</v>
      </c>
      <c r="G10" s="1">
        <f t="shared" si="3"/>
        <v>62.234567901234577</v>
      </c>
    </row>
    <row r="11" spans="1:9" x14ac:dyDescent="0.3">
      <c r="I11" s="2" t="s">
        <v>19</v>
      </c>
    </row>
    <row r="12" spans="1:9" x14ac:dyDescent="0.3">
      <c r="C12" s="2" t="s">
        <v>5</v>
      </c>
      <c r="D12" s="1">
        <f>SUM(D2:D10)</f>
        <v>452.88888888888891</v>
      </c>
      <c r="F12" s="2" t="s">
        <v>16</v>
      </c>
      <c r="G12" s="1">
        <f>SUM(G2:G10)</f>
        <v>452.88888888888891</v>
      </c>
      <c r="I12" s="1" t="s">
        <v>20</v>
      </c>
    </row>
    <row r="13" spans="1:9" x14ac:dyDescent="0.3">
      <c r="C13" s="2"/>
    </row>
    <row r="14" spans="1:9" x14ac:dyDescent="0.3">
      <c r="A14" s="2" t="s">
        <v>6</v>
      </c>
      <c r="B14" s="1">
        <f>COUNT(A2:A10)</f>
        <v>9</v>
      </c>
    </row>
    <row r="15" spans="1:9" x14ac:dyDescent="0.3">
      <c r="A15" s="2" t="s">
        <v>1</v>
      </c>
      <c r="B15" s="1">
        <f>SUM(A2:A10)</f>
        <v>100</v>
      </c>
    </row>
    <row r="16" spans="1:9" x14ac:dyDescent="0.3">
      <c r="A16" s="2" t="s">
        <v>2</v>
      </c>
      <c r="B16" s="1">
        <f>AVERAGE(A2:A10)</f>
        <v>11.111111111111111</v>
      </c>
    </row>
    <row r="17" spans="1:2" x14ac:dyDescent="0.3">
      <c r="A17" s="2"/>
    </row>
    <row r="18" spans="1:2" x14ac:dyDescent="0.3">
      <c r="A18" s="2" t="s">
        <v>15</v>
      </c>
      <c r="B18" s="1">
        <f>AVERAGE(A2:A10)</f>
        <v>11.111111111111111</v>
      </c>
    </row>
    <row r="20" spans="1:2" x14ac:dyDescent="0.3">
      <c r="A20" s="2" t="s">
        <v>7</v>
      </c>
      <c r="B20" s="1">
        <f>D12 / B14</f>
        <v>50.320987654320987</v>
      </c>
    </row>
    <row r="21" spans="1:2" x14ac:dyDescent="0.3">
      <c r="A21" s="2" t="s">
        <v>12</v>
      </c>
      <c r="B21" s="1">
        <f>G12 / (B14 - 1)</f>
        <v>56.611111111111114</v>
      </c>
    </row>
    <row r="23" spans="1:2" x14ac:dyDescent="0.3">
      <c r="B2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PC9</dc:creator>
  <cp:lastModifiedBy>Admin</cp:lastModifiedBy>
  <dcterms:created xsi:type="dcterms:W3CDTF">2026-02-09T04:45:08Z</dcterms:created>
  <dcterms:modified xsi:type="dcterms:W3CDTF">2026-04-20T11:15:36Z</dcterms:modified>
</cp:coreProperties>
</file>