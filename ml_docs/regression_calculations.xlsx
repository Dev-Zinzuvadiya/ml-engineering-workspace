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9\Documents\Arc_Model_Core\Machine_Infrastructure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2" i="1" l="1"/>
  <c r="G68" i="1"/>
  <c r="G67" i="1"/>
  <c r="G66" i="1"/>
  <c r="G65" i="1"/>
  <c r="G64" i="1"/>
  <c r="H46" i="1"/>
  <c r="H47" i="1"/>
  <c r="H73" i="1"/>
  <c r="I65" i="1"/>
  <c r="I66" i="1"/>
  <c r="I67" i="1"/>
  <c r="I68" i="1"/>
  <c r="I64" i="1"/>
  <c r="E65" i="1"/>
  <c r="E66" i="1"/>
  <c r="E67" i="1"/>
  <c r="E68" i="1"/>
  <c r="E64" i="1"/>
  <c r="D65" i="1"/>
  <c r="D66" i="1"/>
  <c r="D67" i="1"/>
  <c r="D68" i="1"/>
  <c r="D64" i="1"/>
  <c r="B73" i="1"/>
  <c r="B72" i="1"/>
  <c r="B75" i="1" l="1"/>
  <c r="B76" i="1" s="1"/>
  <c r="E76" i="1" s="1"/>
  <c r="E75" i="1"/>
  <c r="E39" i="1"/>
  <c r="B47" i="1"/>
  <c r="E36" i="1" s="1"/>
  <c r="B46" i="1"/>
  <c r="D34" i="1" s="1"/>
  <c r="B17" i="1"/>
  <c r="E7" i="1" s="1"/>
  <c r="B16" i="1"/>
  <c r="D6" i="1" s="1"/>
  <c r="E74" i="1" l="1"/>
  <c r="E73" i="1"/>
  <c r="E77" i="1"/>
  <c r="E33" i="1"/>
  <c r="E35" i="1"/>
  <c r="I34" i="1"/>
  <c r="D41" i="1"/>
  <c r="D40" i="1"/>
  <c r="D36" i="1"/>
  <c r="E42" i="1"/>
  <c r="E38" i="1"/>
  <c r="E34" i="1"/>
  <c r="G34" i="1" s="1"/>
  <c r="D37" i="1"/>
  <c r="D33" i="1"/>
  <c r="D39" i="1"/>
  <c r="D35" i="1"/>
  <c r="E41" i="1"/>
  <c r="E37" i="1"/>
  <c r="D42" i="1"/>
  <c r="D38" i="1"/>
  <c r="E40" i="1"/>
  <c r="D9" i="1"/>
  <c r="I9" i="1" s="1"/>
  <c r="E10" i="1"/>
  <c r="E9" i="1"/>
  <c r="E6" i="1"/>
  <c r="D8" i="1"/>
  <c r="I8" i="1" s="1"/>
  <c r="D4" i="1"/>
  <c r="I4" i="1" s="1"/>
  <c r="D5" i="1"/>
  <c r="I5" i="1" s="1"/>
  <c r="D12" i="1"/>
  <c r="I12" i="1" s="1"/>
  <c r="E4" i="1"/>
  <c r="E5" i="1"/>
  <c r="I6" i="1"/>
  <c r="G6" i="1"/>
  <c r="D11" i="1"/>
  <c r="D7" i="1"/>
  <c r="E12" i="1"/>
  <c r="E8" i="1"/>
  <c r="G8" i="1" s="1"/>
  <c r="D10" i="1"/>
  <c r="E11" i="1"/>
  <c r="G5" i="1" l="1"/>
  <c r="G42" i="1"/>
  <c r="I42" i="1"/>
  <c r="G39" i="1"/>
  <c r="I39" i="1"/>
  <c r="I40" i="1"/>
  <c r="G40" i="1"/>
  <c r="G4" i="1"/>
  <c r="G33" i="1"/>
  <c r="I33" i="1"/>
  <c r="I41" i="1"/>
  <c r="G41" i="1"/>
  <c r="I37" i="1"/>
  <c r="G37" i="1"/>
  <c r="G12" i="1"/>
  <c r="G38" i="1"/>
  <c r="I38" i="1"/>
  <c r="G35" i="1"/>
  <c r="I35" i="1"/>
  <c r="I36" i="1"/>
  <c r="G36" i="1"/>
  <c r="G9" i="1"/>
  <c r="I11" i="1"/>
  <c r="G11" i="1"/>
  <c r="G7" i="1"/>
  <c r="I7" i="1"/>
  <c r="I10" i="1"/>
  <c r="G10" i="1"/>
  <c r="H17" i="1" l="1"/>
  <c r="H16" i="1"/>
  <c r="B19" i="1" s="1"/>
  <c r="B20" i="1" s="1"/>
  <c r="E17" i="1" s="1"/>
  <c r="B49" i="1" l="1"/>
  <c r="B50" i="1" s="1"/>
  <c r="E18" i="1"/>
  <c r="E25" i="1"/>
  <c r="E23" i="1"/>
  <c r="E20" i="1"/>
  <c r="E22" i="1"/>
  <c r="E24" i="1"/>
  <c r="E19" i="1"/>
  <c r="E21" i="1"/>
  <c r="E48" i="1" l="1"/>
  <c r="E52" i="1"/>
  <c r="E56" i="1"/>
  <c r="E49" i="1"/>
  <c r="E53" i="1"/>
  <c r="E47" i="1"/>
  <c r="E50" i="1"/>
  <c r="E54" i="1"/>
  <c r="E51" i="1"/>
  <c r="E55" i="1"/>
</calcChain>
</file>

<file path=xl/sharedStrings.xml><?xml version="1.0" encoding="utf-8"?>
<sst xmlns="http://schemas.openxmlformats.org/spreadsheetml/2006/main" count="45" uniqueCount="24">
  <si>
    <t>Experience</t>
  </si>
  <si>
    <t>Salary</t>
  </si>
  <si>
    <t>X-Bar</t>
  </si>
  <si>
    <t>Y-Bar</t>
  </si>
  <si>
    <t>(Xi - X-Bar)</t>
  </si>
  <si>
    <t>(Yi - Y-Bar)</t>
  </si>
  <si>
    <t>Product</t>
  </si>
  <si>
    <t>(Xi - X-Bar)2</t>
  </si>
  <si>
    <t>β1</t>
  </si>
  <si>
    <t>β0</t>
  </si>
  <si>
    <t>Y^</t>
  </si>
  <si>
    <r>
      <rPr>
        <sz val="11"/>
        <color theme="1"/>
        <rFont val="Calibri"/>
        <family val="2"/>
        <scheme val="minor"/>
      </rPr>
      <t>∑</t>
    </r>
    <r>
      <rPr>
        <b/>
        <sz val="11"/>
        <color theme="1"/>
        <rFont val="Calibri"/>
        <family val="2"/>
        <scheme val="minor"/>
      </rPr>
      <t xml:space="preserve"> (Xi - X-Bar)(Yi - Y-Bar)</t>
    </r>
  </si>
  <si>
    <r>
      <t xml:space="preserve">∑ </t>
    </r>
    <r>
      <rPr>
        <b/>
        <sz val="11"/>
        <color theme="1"/>
        <rFont val="Calibri"/>
        <family val="2"/>
        <scheme val="minor"/>
      </rPr>
      <t>(Xi - X-Bar)2</t>
    </r>
  </si>
  <si>
    <t>Practice Sector - 1</t>
  </si>
  <si>
    <t>Practice Sector - 2</t>
  </si>
  <si>
    <t>House Price</t>
  </si>
  <si>
    <t>House Size (Sqaure ft)</t>
  </si>
  <si>
    <t>House Size (Sq ft) (X)</t>
  </si>
  <si>
    <t>Experience (X)</t>
  </si>
  <si>
    <t>Practice Sector - 3</t>
  </si>
  <si>
    <t>Ads Spends ($)</t>
  </si>
  <si>
    <t>Sales ($)</t>
  </si>
  <si>
    <t>(Xi- X-Bar)2</t>
  </si>
  <si>
    <t>Ads Spends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</si>
</sst>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7"/>
  <sheetViews>
    <sheetView tabSelected="1" topLeftCell="A51" workbookViewId="0">
      <selection activeCell="B16" sqref="B16"/>
    </sheetView>
  </sheetViews>
  <sheetFormatPr defaultRowHeight="15" x14ac:dyDescent="0.25"/>
  <cols>
    <col min="1" max="1" width="20.7109375" customWidth="1"/>
    <col min="2" max="2" width="12" customWidth="1"/>
    <col min="3" max="3" width="12" bestFit="1" customWidth="1"/>
    <col min="4" max="4" width="20.7109375" customWidth="1"/>
    <col min="5" max="5" width="12.7109375" customWidth="1"/>
    <col min="6" max="7" width="21.85546875" customWidth="1"/>
    <col min="8" max="9" width="12" customWidth="1"/>
    <col min="10" max="10" width="12" bestFit="1" customWidth="1"/>
  </cols>
  <sheetData>
    <row r="2" spans="1:9" ht="18.75" x14ac:dyDescent="0.3">
      <c r="A2" s="4" t="s">
        <v>13</v>
      </c>
      <c r="B2" s="4"/>
      <c r="C2" s="4"/>
      <c r="D2" s="4"/>
      <c r="E2" s="4"/>
      <c r="F2" s="4"/>
      <c r="G2" s="4"/>
      <c r="H2" s="4"/>
      <c r="I2" s="4"/>
    </row>
    <row r="3" spans="1:9" x14ac:dyDescent="0.25">
      <c r="A3" s="1" t="s">
        <v>0</v>
      </c>
      <c r="B3" s="1" t="s">
        <v>1</v>
      </c>
      <c r="D3" s="1" t="s">
        <v>4</v>
      </c>
      <c r="E3" s="1" t="s">
        <v>5</v>
      </c>
      <c r="G3" s="1" t="s">
        <v>6</v>
      </c>
      <c r="I3" s="1" t="s">
        <v>7</v>
      </c>
    </row>
    <row r="4" spans="1:9" x14ac:dyDescent="0.25">
      <c r="A4" s="2">
        <v>2</v>
      </c>
      <c r="B4" s="2">
        <v>8000</v>
      </c>
      <c r="D4" s="2">
        <f>A4-$B$16</f>
        <v>-2.333333333333333</v>
      </c>
      <c r="E4" s="2">
        <f>B4-$B$17</f>
        <v>-6777.7777777777774</v>
      </c>
      <c r="G4" s="2">
        <f>D4*E4</f>
        <v>15814.814814814812</v>
      </c>
      <c r="I4" s="2">
        <f>POWER(D4:D12, 2)</f>
        <v>5.4444444444444429</v>
      </c>
    </row>
    <row r="5" spans="1:9" x14ac:dyDescent="0.25">
      <c r="A5" s="2">
        <v>6</v>
      </c>
      <c r="B5" s="2">
        <v>20000</v>
      </c>
      <c r="D5" s="2">
        <f t="shared" ref="D5:D12" si="0">A5-$B$16</f>
        <v>1.666666666666667</v>
      </c>
      <c r="E5" s="2">
        <f t="shared" ref="E5:E12" si="1">B5-$B$17</f>
        <v>5222.2222222222226</v>
      </c>
      <c r="G5" s="2">
        <f t="shared" ref="G5:G12" si="2">D5*E5</f>
        <v>8703.7037037037062</v>
      </c>
      <c r="I5" s="2">
        <f t="shared" ref="I5:I7" si="3">POWER(D5:D13, 2)</f>
        <v>2.7777777777777786</v>
      </c>
    </row>
    <row r="6" spans="1:9" x14ac:dyDescent="0.25">
      <c r="A6" s="2">
        <v>4</v>
      </c>
      <c r="B6" s="2">
        <v>13000</v>
      </c>
      <c r="D6" s="2">
        <f t="shared" si="0"/>
        <v>-0.33333333333333304</v>
      </c>
      <c r="E6" s="2">
        <f t="shared" si="1"/>
        <v>-1777.7777777777774</v>
      </c>
      <c r="G6" s="2">
        <f t="shared" si="2"/>
        <v>592.59259259259193</v>
      </c>
      <c r="I6" s="2">
        <f t="shared" si="3"/>
        <v>0.11111111111111091</v>
      </c>
    </row>
    <row r="7" spans="1:9" x14ac:dyDescent="0.25">
      <c r="A7" s="2">
        <v>5</v>
      </c>
      <c r="B7" s="2">
        <v>16000</v>
      </c>
      <c r="D7" s="2">
        <f t="shared" si="0"/>
        <v>0.66666666666666696</v>
      </c>
      <c r="E7" s="2">
        <f t="shared" si="1"/>
        <v>1222.2222222222226</v>
      </c>
      <c r="G7" s="2">
        <f t="shared" si="2"/>
        <v>814.81481481481546</v>
      </c>
      <c r="I7" s="2">
        <f t="shared" si="3"/>
        <v>0.44444444444444486</v>
      </c>
    </row>
    <row r="8" spans="1:9" x14ac:dyDescent="0.25">
      <c r="A8" s="2">
        <v>7</v>
      </c>
      <c r="B8" s="2">
        <v>25000</v>
      </c>
      <c r="D8" s="2">
        <f t="shared" si="0"/>
        <v>2.666666666666667</v>
      </c>
      <c r="E8" s="2">
        <f t="shared" si="1"/>
        <v>10222.222222222223</v>
      </c>
      <c r="G8" s="2">
        <f t="shared" si="2"/>
        <v>27259.259259259263</v>
      </c>
      <c r="I8" s="2">
        <f>POWER(D8:D15, 2)</f>
        <v>7.1111111111111125</v>
      </c>
    </row>
    <row r="9" spans="1:9" x14ac:dyDescent="0.25">
      <c r="A9" s="2">
        <v>1</v>
      </c>
      <c r="B9" s="2">
        <v>5000</v>
      </c>
      <c r="D9" s="2">
        <f t="shared" si="0"/>
        <v>-3.333333333333333</v>
      </c>
      <c r="E9" s="2">
        <f t="shared" si="1"/>
        <v>-9777.7777777777774</v>
      </c>
      <c r="G9" s="2">
        <f t="shared" si="2"/>
        <v>32592.592592592588</v>
      </c>
      <c r="I9" s="2">
        <f>POWER(D9:D15, 2)</f>
        <v>11.111111111111109</v>
      </c>
    </row>
    <row r="10" spans="1:9" x14ac:dyDescent="0.25">
      <c r="A10" s="2">
        <v>3</v>
      </c>
      <c r="B10" s="2">
        <v>10000</v>
      </c>
      <c r="D10" s="2">
        <f t="shared" si="0"/>
        <v>-1.333333333333333</v>
      </c>
      <c r="E10" s="2">
        <f t="shared" si="1"/>
        <v>-4777.7777777777774</v>
      </c>
      <c r="G10" s="2">
        <f t="shared" si="2"/>
        <v>6370.3703703703686</v>
      </c>
      <c r="I10" s="2">
        <f>POWER(D10:D15, 2)</f>
        <v>1.777777777777777</v>
      </c>
    </row>
    <row r="11" spans="1:9" x14ac:dyDescent="0.25">
      <c r="A11" s="2">
        <v>5</v>
      </c>
      <c r="B11" s="2">
        <v>16000</v>
      </c>
      <c r="D11" s="2">
        <f t="shared" si="0"/>
        <v>0.66666666666666696</v>
      </c>
      <c r="E11" s="2">
        <f t="shared" si="1"/>
        <v>1222.2222222222226</v>
      </c>
      <c r="G11" s="2">
        <f t="shared" si="2"/>
        <v>814.81481481481546</v>
      </c>
      <c r="I11" s="2">
        <f>POWER(D11:D15, 2)</f>
        <v>0.44444444444444486</v>
      </c>
    </row>
    <row r="12" spans="1:9" x14ac:dyDescent="0.25">
      <c r="A12" s="2">
        <v>6</v>
      </c>
      <c r="B12" s="2">
        <v>20000</v>
      </c>
      <c r="D12" s="2">
        <f t="shared" si="0"/>
        <v>1.666666666666667</v>
      </c>
      <c r="E12" s="2">
        <f t="shared" si="1"/>
        <v>5222.2222222222226</v>
      </c>
      <c r="G12" s="2">
        <f t="shared" si="2"/>
        <v>8703.7037037037062</v>
      </c>
      <c r="I12" s="2">
        <f>POWER(D12:D15, 2)</f>
        <v>2.7777777777777786</v>
      </c>
    </row>
    <row r="16" spans="1:9" x14ac:dyDescent="0.25">
      <c r="A16" s="1" t="s">
        <v>2</v>
      </c>
      <c r="B16" s="2">
        <f>AVERAGE(A4:A12)</f>
        <v>4.333333333333333</v>
      </c>
      <c r="D16" s="1" t="s">
        <v>18</v>
      </c>
      <c r="E16" s="1" t="s">
        <v>10</v>
      </c>
      <c r="G16" s="1" t="s">
        <v>11</v>
      </c>
      <c r="H16" s="2">
        <f>SUM(G4:G12)</f>
        <v>101666.66666666666</v>
      </c>
    </row>
    <row r="17" spans="1:10" x14ac:dyDescent="0.25">
      <c r="A17" s="1" t="s">
        <v>3</v>
      </c>
      <c r="B17" s="2">
        <f>AVERAGE(B4:B12)</f>
        <v>14777.777777777777</v>
      </c>
      <c r="D17" s="2">
        <v>2</v>
      </c>
      <c r="E17" s="3">
        <f>SUM($B$20 + $B$19 * A4)</f>
        <v>7364.5833333333339</v>
      </c>
      <c r="G17" s="2" t="s">
        <v>12</v>
      </c>
      <c r="H17" s="2">
        <f>SUM(I4:I12)</f>
        <v>32</v>
      </c>
    </row>
    <row r="18" spans="1:10" x14ac:dyDescent="0.25">
      <c r="D18" s="2">
        <v>6</v>
      </c>
      <c r="E18" s="3">
        <f t="shared" ref="E18:E25" si="4">SUM($B$20 + $B$19 * A5)</f>
        <v>20072.916666666668</v>
      </c>
    </row>
    <row r="19" spans="1:10" x14ac:dyDescent="0.25">
      <c r="A19" s="1" t="s">
        <v>8</v>
      </c>
      <c r="B19" s="2">
        <f>H16/H17</f>
        <v>3177.083333333333</v>
      </c>
      <c r="D19" s="2">
        <v>4</v>
      </c>
      <c r="E19" s="3">
        <f t="shared" si="4"/>
        <v>13718.75</v>
      </c>
    </row>
    <row r="20" spans="1:10" x14ac:dyDescent="0.25">
      <c r="A20" s="1" t="s">
        <v>9</v>
      </c>
      <c r="B20" s="2">
        <f>B17 - B19*B16</f>
        <v>1010.4166666666679</v>
      </c>
      <c r="D20" s="2">
        <v>5</v>
      </c>
      <c r="E20" s="3">
        <f t="shared" si="4"/>
        <v>16895.833333333332</v>
      </c>
    </row>
    <row r="21" spans="1:10" x14ac:dyDescent="0.25">
      <c r="D21" s="2">
        <v>7</v>
      </c>
      <c r="E21" s="3">
        <f t="shared" si="4"/>
        <v>23250</v>
      </c>
    </row>
    <row r="22" spans="1:10" x14ac:dyDescent="0.25">
      <c r="B22" s="2"/>
      <c r="C22" s="2"/>
      <c r="D22" s="2">
        <v>1</v>
      </c>
      <c r="E22" s="3">
        <f t="shared" si="4"/>
        <v>4187.5000000000009</v>
      </c>
      <c r="F22" s="2"/>
      <c r="G22" s="2"/>
      <c r="H22" s="2"/>
      <c r="I22" s="2"/>
      <c r="J22" s="2"/>
    </row>
    <row r="23" spans="1:10" x14ac:dyDescent="0.25">
      <c r="B23" s="2"/>
      <c r="D23" s="2">
        <v>3</v>
      </c>
      <c r="E23" s="3">
        <f t="shared" si="4"/>
        <v>10541.666666666668</v>
      </c>
    </row>
    <row r="24" spans="1:10" x14ac:dyDescent="0.25">
      <c r="B24" s="2"/>
      <c r="D24" s="2">
        <v>5</v>
      </c>
      <c r="E24" s="3">
        <f t="shared" si="4"/>
        <v>16895.833333333332</v>
      </c>
    </row>
    <row r="25" spans="1:10" x14ac:dyDescent="0.25">
      <c r="B25" s="2"/>
      <c r="D25" s="2">
        <v>6</v>
      </c>
      <c r="E25" s="3">
        <f t="shared" si="4"/>
        <v>20072.916666666668</v>
      </c>
    </row>
    <row r="26" spans="1:10" x14ac:dyDescent="0.25">
      <c r="B26" s="2"/>
    </row>
    <row r="27" spans="1:10" x14ac:dyDescent="0.25">
      <c r="B27" s="2"/>
    </row>
    <row r="28" spans="1:10" x14ac:dyDescent="0.25">
      <c r="B28" s="2"/>
    </row>
    <row r="29" spans="1:10" x14ac:dyDescent="0.25">
      <c r="B29" s="2"/>
    </row>
    <row r="30" spans="1:10" x14ac:dyDescent="0.25">
      <c r="B30" s="2"/>
    </row>
    <row r="31" spans="1:10" ht="18.75" x14ac:dyDescent="0.3">
      <c r="A31" s="4" t="s">
        <v>14</v>
      </c>
      <c r="B31" s="4"/>
      <c r="C31" s="4"/>
      <c r="D31" s="4"/>
      <c r="E31" s="4"/>
      <c r="F31" s="4"/>
      <c r="G31" s="4"/>
      <c r="H31" s="4"/>
      <c r="I31" s="4"/>
    </row>
    <row r="32" spans="1:10" x14ac:dyDescent="0.25">
      <c r="A32" s="1" t="s">
        <v>16</v>
      </c>
      <c r="B32" s="1" t="s">
        <v>15</v>
      </c>
      <c r="C32" s="2"/>
      <c r="D32" s="1" t="s">
        <v>4</v>
      </c>
      <c r="E32" s="1" t="s">
        <v>5</v>
      </c>
      <c r="F32" s="2"/>
      <c r="G32" s="1" t="s">
        <v>6</v>
      </c>
      <c r="H32" s="2"/>
      <c r="I32" s="1" t="s">
        <v>7</v>
      </c>
    </row>
    <row r="33" spans="1:9" x14ac:dyDescent="0.25">
      <c r="A33" s="2">
        <v>300</v>
      </c>
      <c r="B33" s="2">
        <v>1220000</v>
      </c>
      <c r="D33" s="2">
        <f>A33 - $B$46</f>
        <v>-750</v>
      </c>
      <c r="E33" s="2">
        <f>B33 - $B$47</f>
        <v>-3081500</v>
      </c>
      <c r="G33" s="2">
        <f>D33 * E33</f>
        <v>2311125000</v>
      </c>
      <c r="I33" s="2">
        <f>POWER(D33, 2)</f>
        <v>562500</v>
      </c>
    </row>
    <row r="34" spans="1:9" x14ac:dyDescent="0.25">
      <c r="A34" s="2">
        <v>500</v>
      </c>
      <c r="B34" s="2">
        <v>2050000</v>
      </c>
      <c r="D34" s="2">
        <f t="shared" ref="D34:D42" si="5">A34 - $B$46</f>
        <v>-550</v>
      </c>
      <c r="E34" s="2">
        <f t="shared" ref="E34:E42" si="6">B34 - $B$47</f>
        <v>-2251500</v>
      </c>
      <c r="G34" s="2">
        <f t="shared" ref="G34:G42" si="7">D34 * E34</f>
        <v>1238325000</v>
      </c>
      <c r="I34" s="2">
        <f t="shared" ref="I34:I42" si="8">POWER(D34, 2)</f>
        <v>302500</v>
      </c>
    </row>
    <row r="35" spans="1:9" x14ac:dyDescent="0.25">
      <c r="A35" s="2">
        <v>700</v>
      </c>
      <c r="B35" s="2">
        <v>2920000</v>
      </c>
      <c r="D35" s="2">
        <f t="shared" si="5"/>
        <v>-350</v>
      </c>
      <c r="E35" s="2">
        <f t="shared" si="6"/>
        <v>-1381500</v>
      </c>
      <c r="G35" s="2">
        <f t="shared" si="7"/>
        <v>483525000</v>
      </c>
      <c r="I35" s="2">
        <f t="shared" si="8"/>
        <v>122500</v>
      </c>
    </row>
    <row r="36" spans="1:9" x14ac:dyDescent="0.25">
      <c r="A36" s="2">
        <v>2000</v>
      </c>
      <c r="B36" s="2">
        <v>8050000</v>
      </c>
      <c r="D36" s="2">
        <f t="shared" si="5"/>
        <v>950</v>
      </c>
      <c r="E36" s="2">
        <f t="shared" si="6"/>
        <v>3748500</v>
      </c>
      <c r="G36" s="2">
        <f t="shared" si="7"/>
        <v>3561075000</v>
      </c>
      <c r="I36" s="2">
        <f t="shared" si="8"/>
        <v>902500</v>
      </c>
    </row>
    <row r="37" spans="1:9" x14ac:dyDescent="0.25">
      <c r="A37" s="2">
        <v>1000</v>
      </c>
      <c r="B37" s="2">
        <v>4100000</v>
      </c>
      <c r="D37" s="2">
        <f t="shared" si="5"/>
        <v>-50</v>
      </c>
      <c r="E37" s="2">
        <f t="shared" si="6"/>
        <v>-201500</v>
      </c>
      <c r="G37" s="2">
        <f t="shared" si="7"/>
        <v>10075000</v>
      </c>
      <c r="I37" s="2">
        <f t="shared" si="8"/>
        <v>2500</v>
      </c>
    </row>
    <row r="38" spans="1:9" x14ac:dyDescent="0.25">
      <c r="A38" s="2">
        <v>3500</v>
      </c>
      <c r="B38" s="2">
        <v>14500000</v>
      </c>
      <c r="D38" s="2">
        <f t="shared" si="5"/>
        <v>2450</v>
      </c>
      <c r="E38" s="2">
        <f t="shared" si="6"/>
        <v>10198500</v>
      </c>
      <c r="G38" s="2">
        <f t="shared" si="7"/>
        <v>24986325000</v>
      </c>
      <c r="I38" s="2">
        <f t="shared" si="8"/>
        <v>6002500</v>
      </c>
    </row>
    <row r="39" spans="1:9" x14ac:dyDescent="0.25">
      <c r="A39" s="2">
        <v>400</v>
      </c>
      <c r="B39" s="2">
        <v>1620000</v>
      </c>
      <c r="D39" s="2">
        <f t="shared" si="5"/>
        <v>-650</v>
      </c>
      <c r="E39" s="2">
        <f t="shared" si="6"/>
        <v>-2681500</v>
      </c>
      <c r="G39" s="2">
        <f t="shared" si="7"/>
        <v>1742975000</v>
      </c>
      <c r="I39" s="2">
        <f t="shared" si="8"/>
        <v>422500</v>
      </c>
    </row>
    <row r="40" spans="1:9" x14ac:dyDescent="0.25">
      <c r="A40" s="2">
        <v>800</v>
      </c>
      <c r="B40" s="2">
        <v>3300000</v>
      </c>
      <c r="D40" s="2">
        <f t="shared" si="5"/>
        <v>-250</v>
      </c>
      <c r="E40" s="2">
        <f t="shared" si="6"/>
        <v>-1001500</v>
      </c>
      <c r="G40" s="2">
        <f t="shared" si="7"/>
        <v>250375000</v>
      </c>
      <c r="I40" s="2">
        <f t="shared" si="8"/>
        <v>62500</v>
      </c>
    </row>
    <row r="41" spans="1:9" x14ac:dyDescent="0.25">
      <c r="A41" s="2">
        <v>1000</v>
      </c>
      <c r="B41" s="2">
        <v>4050000</v>
      </c>
      <c r="D41" s="2">
        <f t="shared" si="5"/>
        <v>-50</v>
      </c>
      <c r="E41" s="2">
        <f t="shared" si="6"/>
        <v>-251500</v>
      </c>
      <c r="G41" s="2">
        <f t="shared" si="7"/>
        <v>12575000</v>
      </c>
      <c r="I41" s="2">
        <f t="shared" si="8"/>
        <v>2500</v>
      </c>
    </row>
    <row r="42" spans="1:9" x14ac:dyDescent="0.25">
      <c r="A42" s="2">
        <v>300</v>
      </c>
      <c r="B42" s="2">
        <v>1205000</v>
      </c>
      <c r="D42" s="2">
        <f t="shared" si="5"/>
        <v>-750</v>
      </c>
      <c r="E42" s="2">
        <f t="shared" si="6"/>
        <v>-3096500</v>
      </c>
      <c r="G42" s="2">
        <f t="shared" si="7"/>
        <v>2322375000</v>
      </c>
      <c r="I42" s="2">
        <f t="shared" si="8"/>
        <v>562500</v>
      </c>
    </row>
    <row r="46" spans="1:9" x14ac:dyDescent="0.25">
      <c r="A46" s="1" t="s">
        <v>2</v>
      </c>
      <c r="B46" s="2">
        <f>AVERAGE(A33:A42)</f>
        <v>1050</v>
      </c>
      <c r="D46" s="1" t="s">
        <v>17</v>
      </c>
      <c r="E46" s="1" t="s">
        <v>10</v>
      </c>
      <c r="G46" s="1" t="s">
        <v>11</v>
      </c>
      <c r="H46" s="2">
        <f>SUM(G33:G42)</f>
        <v>36918750000</v>
      </c>
    </row>
    <row r="47" spans="1:9" x14ac:dyDescent="0.25">
      <c r="A47" s="1" t="s">
        <v>3</v>
      </c>
      <c r="B47" s="2">
        <f>AVERAGE(B33:B42)</f>
        <v>4301500</v>
      </c>
      <c r="D47" s="2">
        <v>300</v>
      </c>
      <c r="E47" s="2">
        <f t="shared" ref="E47:E56" si="9">SUM($B$50 + $B$49 * A33)</f>
        <v>1206020.6819452206</v>
      </c>
      <c r="G47" s="2" t="s">
        <v>12</v>
      </c>
      <c r="H47" s="2">
        <f>SUM(I33:I42)</f>
        <v>8945000</v>
      </c>
    </row>
    <row r="48" spans="1:9" x14ac:dyDescent="0.25">
      <c r="D48" s="2">
        <v>500</v>
      </c>
      <c r="E48" s="2">
        <f t="shared" si="9"/>
        <v>2031481.8334264948</v>
      </c>
    </row>
    <row r="49" spans="1:9" x14ac:dyDescent="0.25">
      <c r="A49" s="1" t="s">
        <v>8</v>
      </c>
      <c r="B49" s="2">
        <f>H46/H47</f>
        <v>4127.3057574063723</v>
      </c>
      <c r="D49" s="2">
        <v>700</v>
      </c>
      <c r="E49" s="2">
        <f t="shared" si="9"/>
        <v>2856942.9849077696</v>
      </c>
    </row>
    <row r="50" spans="1:9" x14ac:dyDescent="0.25">
      <c r="A50" s="1" t="s">
        <v>9</v>
      </c>
      <c r="B50" s="2">
        <f>B47 - B49*B46</f>
        <v>-32171.045276691206</v>
      </c>
      <c r="D50" s="2">
        <v>2000</v>
      </c>
      <c r="E50" s="2">
        <f t="shared" si="9"/>
        <v>8222440.469536053</v>
      </c>
    </row>
    <row r="51" spans="1:9" x14ac:dyDescent="0.25">
      <c r="D51" s="2">
        <v>1000</v>
      </c>
      <c r="E51" s="2">
        <f t="shared" si="9"/>
        <v>4095134.7121296809</v>
      </c>
    </row>
    <row r="52" spans="1:9" x14ac:dyDescent="0.25">
      <c r="D52" s="2">
        <v>3500</v>
      </c>
      <c r="E52" s="2">
        <f t="shared" si="9"/>
        <v>14413399.105645612</v>
      </c>
    </row>
    <row r="53" spans="1:9" x14ac:dyDescent="0.25">
      <c r="D53" s="2">
        <v>400</v>
      </c>
      <c r="E53" s="2">
        <f t="shared" si="9"/>
        <v>1618751.2576858578</v>
      </c>
    </row>
    <row r="54" spans="1:9" x14ac:dyDescent="0.25">
      <c r="D54" s="2">
        <v>800</v>
      </c>
      <c r="E54" s="2">
        <f t="shared" si="9"/>
        <v>3269673.5606484069</v>
      </c>
    </row>
    <row r="55" spans="1:9" x14ac:dyDescent="0.25">
      <c r="D55" s="2">
        <v>1000</v>
      </c>
      <c r="E55" s="2">
        <f t="shared" si="9"/>
        <v>4095134.7121296809</v>
      </c>
    </row>
    <row r="56" spans="1:9" x14ac:dyDescent="0.25">
      <c r="D56" s="2">
        <v>300</v>
      </c>
      <c r="E56" s="2">
        <f t="shared" si="9"/>
        <v>1206020.6819452206</v>
      </c>
    </row>
    <row r="57" spans="1:9" x14ac:dyDescent="0.25">
      <c r="D57" s="2"/>
    </row>
    <row r="62" spans="1:9" ht="18.75" x14ac:dyDescent="0.3">
      <c r="A62" s="4" t="s">
        <v>19</v>
      </c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1" t="s">
        <v>20</v>
      </c>
      <c r="B63" s="1" t="s">
        <v>21</v>
      </c>
      <c r="C63" s="1"/>
      <c r="D63" s="1" t="s">
        <v>4</v>
      </c>
      <c r="E63" s="1" t="s">
        <v>5</v>
      </c>
      <c r="F63" s="1"/>
      <c r="G63" s="1" t="s">
        <v>6</v>
      </c>
      <c r="H63" s="1"/>
      <c r="I63" s="1" t="s">
        <v>22</v>
      </c>
    </row>
    <row r="64" spans="1:9" x14ac:dyDescent="0.25">
      <c r="A64" s="2">
        <v>1000</v>
      </c>
      <c r="B64" s="2">
        <v>15000</v>
      </c>
      <c r="D64" s="2">
        <f>A64 - $B$72</f>
        <v>-2000</v>
      </c>
      <c r="E64" s="2">
        <f>B64 - $B$73</f>
        <v>-24000</v>
      </c>
      <c r="G64" s="2">
        <f>D64 * E64</f>
        <v>48000000</v>
      </c>
      <c r="I64" s="2">
        <f>POWER(D64, 2)</f>
        <v>4000000</v>
      </c>
    </row>
    <row r="65" spans="1:9" x14ac:dyDescent="0.25">
      <c r="A65" s="2">
        <v>2000</v>
      </c>
      <c r="B65" s="2">
        <v>25000</v>
      </c>
      <c r="D65" s="2">
        <f t="shared" ref="D65:D68" si="10">A65 - $B$72</f>
        <v>-1000</v>
      </c>
      <c r="E65" s="2">
        <f t="shared" ref="E65:E68" si="11">B65 - $B$73</f>
        <v>-14000</v>
      </c>
      <c r="G65" s="2">
        <f>D65 * E65</f>
        <v>14000000</v>
      </c>
      <c r="I65" s="2">
        <f t="shared" ref="I65:I68" si="12">POWER(D65, 2)</f>
        <v>1000000</v>
      </c>
    </row>
    <row r="66" spans="1:9" x14ac:dyDescent="0.25">
      <c r="A66" s="2">
        <v>3000</v>
      </c>
      <c r="B66" s="2">
        <v>35000</v>
      </c>
      <c r="D66" s="2">
        <f t="shared" si="10"/>
        <v>0</v>
      </c>
      <c r="E66" s="2">
        <f t="shared" si="11"/>
        <v>-4000</v>
      </c>
      <c r="G66" s="2">
        <f>D66 * E66</f>
        <v>0</v>
      </c>
      <c r="I66" s="2">
        <f t="shared" si="12"/>
        <v>0</v>
      </c>
    </row>
    <row r="67" spans="1:9" x14ac:dyDescent="0.25">
      <c r="A67" s="2">
        <v>4000</v>
      </c>
      <c r="B67" s="2">
        <v>50000</v>
      </c>
      <c r="D67" s="2">
        <f t="shared" si="10"/>
        <v>1000</v>
      </c>
      <c r="E67" s="2">
        <f t="shared" si="11"/>
        <v>11000</v>
      </c>
      <c r="G67" s="2">
        <f>D67 * E67</f>
        <v>11000000</v>
      </c>
      <c r="I67" s="2">
        <f t="shared" si="12"/>
        <v>1000000</v>
      </c>
    </row>
    <row r="68" spans="1:9" x14ac:dyDescent="0.25">
      <c r="A68" s="2">
        <v>5000</v>
      </c>
      <c r="B68" s="2">
        <v>70000</v>
      </c>
      <c r="D68" s="2">
        <f t="shared" si="10"/>
        <v>2000</v>
      </c>
      <c r="E68" s="2">
        <f t="shared" si="11"/>
        <v>31000</v>
      </c>
      <c r="G68" s="2">
        <f>D68 * E68</f>
        <v>62000000</v>
      </c>
      <c r="I68" s="2">
        <f t="shared" si="12"/>
        <v>4000000</v>
      </c>
    </row>
    <row r="72" spans="1:9" x14ac:dyDescent="0.25">
      <c r="A72" s="1" t="s">
        <v>2</v>
      </c>
      <c r="B72" s="2">
        <f>AVERAGE(A64:A68)</f>
        <v>3000</v>
      </c>
      <c r="D72" s="1" t="s">
        <v>23</v>
      </c>
      <c r="E72" s="1" t="s">
        <v>10</v>
      </c>
      <c r="G72" s="1" t="s">
        <v>11</v>
      </c>
      <c r="H72" s="2">
        <f>SUM(G64:G68)</f>
        <v>135000000</v>
      </c>
    </row>
    <row r="73" spans="1:9" x14ac:dyDescent="0.25">
      <c r="A73" s="1" t="s">
        <v>3</v>
      </c>
      <c r="B73" s="2">
        <f>AVERAGE(B64:B68)</f>
        <v>39000</v>
      </c>
      <c r="D73" s="2">
        <v>1000</v>
      </c>
      <c r="E73" s="2">
        <f>$B$76 + $B$75 * A64</f>
        <v>12000</v>
      </c>
      <c r="G73" s="2" t="s">
        <v>12</v>
      </c>
      <c r="H73" s="2">
        <f>SUM(I64:I68)</f>
        <v>10000000</v>
      </c>
    </row>
    <row r="74" spans="1:9" x14ac:dyDescent="0.25">
      <c r="D74" s="2">
        <v>2000</v>
      </c>
      <c r="E74" s="2">
        <f t="shared" ref="E74:E77" si="13">$B$76 + $B$75 * A65</f>
        <v>25500</v>
      </c>
    </row>
    <row r="75" spans="1:9" x14ac:dyDescent="0.25">
      <c r="A75" s="1" t="s">
        <v>8</v>
      </c>
      <c r="B75" s="2">
        <f>H72 / H73</f>
        <v>13.5</v>
      </c>
      <c r="D75" s="2">
        <v>3000</v>
      </c>
      <c r="E75" s="2">
        <f t="shared" si="13"/>
        <v>39000</v>
      </c>
    </row>
    <row r="76" spans="1:9" x14ac:dyDescent="0.25">
      <c r="A76" s="1" t="s">
        <v>9</v>
      </c>
      <c r="B76" s="2">
        <f>B73 - B75 * B72</f>
        <v>-1500</v>
      </c>
      <c r="D76" s="2">
        <v>4000</v>
      </c>
      <c r="E76" s="2">
        <f t="shared" si="13"/>
        <v>52500</v>
      </c>
    </row>
    <row r="77" spans="1:9" x14ac:dyDescent="0.25">
      <c r="D77" s="2">
        <v>5000</v>
      </c>
      <c r="E77" s="2">
        <f t="shared" si="13"/>
        <v>66000</v>
      </c>
    </row>
  </sheetData>
  <mergeCells count="3">
    <mergeCell ref="A2:I2"/>
    <mergeCell ref="A31:I31"/>
    <mergeCell ref="A62:I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PC9</dc:creator>
  <cp:lastModifiedBy>PC9</cp:lastModifiedBy>
  <dcterms:created xsi:type="dcterms:W3CDTF">2026-04-17T04:32:59Z</dcterms:created>
  <dcterms:modified xsi:type="dcterms:W3CDTF">2026-04-20T06:01:26Z</dcterms:modified>
</cp:coreProperties>
</file>