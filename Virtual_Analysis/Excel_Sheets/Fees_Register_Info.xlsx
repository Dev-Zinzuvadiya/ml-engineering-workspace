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9\Documents\Arc_Model_Core\Virtual_Analysis\Excel_Sheets\"/>
    </mc:Choice>
  </mc:AlternateContent>
  <bookViews>
    <workbookView xWindow="0" yWindow="0" windowWidth="19200" windowHeight="11595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3" l="1"/>
  <c r="U5" i="3"/>
  <c r="U6" i="3"/>
  <c r="T5" i="3"/>
  <c r="T6" i="3"/>
  <c r="S5" i="3"/>
  <c r="S6" i="3"/>
  <c r="S4" i="3"/>
  <c r="T4" i="3" s="1"/>
  <c r="E6" i="2"/>
  <c r="F6" i="2" s="1"/>
  <c r="E5" i="2"/>
  <c r="F5" i="2" s="1"/>
  <c r="E4" i="2"/>
  <c r="F4" i="2" s="1"/>
  <c r="E3" i="2"/>
  <c r="F3" i="2" s="1"/>
  <c r="U7" i="3" l="1"/>
  <c r="T7" i="3"/>
  <c r="U4" i="3"/>
</calcChain>
</file>

<file path=xl/sharedStrings.xml><?xml version="1.0" encoding="utf-8"?>
<sst xmlns="http://schemas.openxmlformats.org/spreadsheetml/2006/main" count="134" uniqueCount="49">
  <si>
    <t>Fees Register</t>
  </si>
  <si>
    <t>No</t>
  </si>
  <si>
    <t>Name</t>
  </si>
  <si>
    <t>Date</t>
  </si>
  <si>
    <t>Installment</t>
  </si>
  <si>
    <t>Akshay</t>
  </si>
  <si>
    <t>Milan</t>
  </si>
  <si>
    <t>Jaydeep</t>
  </si>
  <si>
    <t>Rajesh</t>
  </si>
  <si>
    <t>Student Register</t>
  </si>
  <si>
    <t>Course</t>
  </si>
  <si>
    <t>Total Fees</t>
  </si>
  <si>
    <t>Paid Fees</t>
  </si>
  <si>
    <t>Unpaid Fees</t>
  </si>
  <si>
    <t>PHP</t>
  </si>
  <si>
    <t>Web Designing</t>
  </si>
  <si>
    <t>Interior</t>
  </si>
  <si>
    <t>Attendence Report</t>
  </si>
  <si>
    <t>Sunday</t>
  </si>
  <si>
    <t>Monday</t>
  </si>
  <si>
    <t>Wednesday</t>
  </si>
  <si>
    <t>Thursday</t>
  </si>
  <si>
    <t>Friday</t>
  </si>
  <si>
    <t>Saturday</t>
  </si>
  <si>
    <t>Total</t>
  </si>
  <si>
    <t>Vijay</t>
  </si>
  <si>
    <t>Denish</t>
  </si>
  <si>
    <t>H</t>
  </si>
  <si>
    <t>Tuesday</t>
  </si>
  <si>
    <t>P</t>
  </si>
  <si>
    <t>A</t>
  </si>
  <si>
    <t>Write Excel some examples with Excel Functions with functions values and also parmeters:</t>
  </si>
  <si>
    <t xml:space="preserve"> </t>
  </si>
  <si>
    <t>SUM FIND EOMONTH MEDIAN</t>
  </si>
  <si>
    <t>MIN LEFT HOUR ABS</t>
  </si>
  <si>
    <t>MAX RIGHT MINUTE PRODUCT</t>
  </si>
  <si>
    <t>COUNT LEN MONTH RAND</t>
  </si>
  <si>
    <t>COUNTIF LOWER NOW RANDBETWEEN</t>
  </si>
  <si>
    <t>SUMIF UPPER TIME ROUND</t>
  </si>
  <si>
    <t>AND PROPER SECOND DELTA</t>
  </si>
  <si>
    <t>DATEVALUE REPLACE TODAY GCD</t>
  </si>
  <si>
    <t>OR REPT NETWORKDAYS PI</t>
  </si>
  <si>
    <t>CHAR DATE VLOOKUP GEOMEAN</t>
  </si>
  <si>
    <t>CODE DAY HLOOKUP LARGE</t>
  </si>
  <si>
    <t>CONCATENATE DAYS TRUNC MAXA</t>
  </si>
  <si>
    <t>EXACT EDATE SQRT MINA</t>
  </si>
  <si>
    <t>MID TEXT WEEKDAY CONVERT</t>
  </si>
  <si>
    <t>TYPE CHOOSE MOD LCM</t>
  </si>
  <si>
    <t>ODD EVEN AVERAGE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</si>
</sst>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textRotation="90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8" sqref="E8"/>
    </sheetView>
  </sheetViews>
  <sheetFormatPr defaultRowHeight="15" x14ac:dyDescent="0.25"/>
  <cols>
    <col min="1" max="1" width="3.5703125" customWidth="1"/>
    <col min="2" max="2" width="8.28515625" customWidth="1"/>
    <col min="3" max="3" width="10.42578125" bestFit="1" customWidth="1"/>
    <col min="4" max="4" width="11.140625" bestFit="1" customWidth="1"/>
  </cols>
  <sheetData>
    <row r="1" spans="1:4" ht="18.75" x14ac:dyDescent="0.25">
      <c r="A1" s="10" t="s">
        <v>0</v>
      </c>
      <c r="B1" s="10"/>
      <c r="C1" s="10"/>
      <c r="D1" s="10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2" t="s">
        <v>5</v>
      </c>
      <c r="C3" s="3">
        <v>43105</v>
      </c>
      <c r="D3" s="2">
        <v>15000</v>
      </c>
    </row>
    <row r="4" spans="1:4" x14ac:dyDescent="0.25">
      <c r="A4" s="2">
        <v>2</v>
      </c>
      <c r="B4" s="2" t="s">
        <v>6</v>
      </c>
      <c r="C4" s="3">
        <v>43105</v>
      </c>
      <c r="D4" s="2">
        <v>5000</v>
      </c>
    </row>
    <row r="5" spans="1:4" x14ac:dyDescent="0.25">
      <c r="A5" s="2">
        <v>3</v>
      </c>
      <c r="B5" s="2" t="s">
        <v>7</v>
      </c>
      <c r="C5" s="3">
        <v>43105</v>
      </c>
      <c r="D5" s="2">
        <v>20000</v>
      </c>
    </row>
    <row r="6" spans="1:4" x14ac:dyDescent="0.25">
      <c r="A6" s="2">
        <v>4</v>
      </c>
      <c r="B6" s="2" t="s">
        <v>8</v>
      </c>
      <c r="C6" s="3">
        <v>43105</v>
      </c>
      <c r="D6" s="2">
        <v>24000</v>
      </c>
    </row>
    <row r="7" spans="1:4" x14ac:dyDescent="0.25">
      <c r="A7" s="2">
        <v>5</v>
      </c>
      <c r="B7" s="2" t="s">
        <v>5</v>
      </c>
      <c r="C7" s="3">
        <v>43136</v>
      </c>
      <c r="D7" s="2">
        <v>10000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I10" sqref="I10"/>
    </sheetView>
  </sheetViews>
  <sheetFormatPr defaultRowHeight="15" x14ac:dyDescent="0.25"/>
  <cols>
    <col min="1" max="1" width="3.5703125" customWidth="1"/>
    <col min="2" max="2" width="8.28515625" customWidth="1"/>
    <col min="3" max="3" width="14.42578125" bestFit="1" customWidth="1"/>
    <col min="4" max="4" width="10" bestFit="1" customWidth="1"/>
    <col min="5" max="5" width="9.42578125" bestFit="1" customWidth="1"/>
    <col min="6" max="6" width="12" bestFit="1" customWidth="1"/>
    <col min="10" max="10" width="15.5703125" customWidth="1"/>
  </cols>
  <sheetData>
    <row r="1" spans="1:10" ht="18.75" x14ac:dyDescent="0.3">
      <c r="A1" s="9" t="s">
        <v>9</v>
      </c>
      <c r="B1" s="9"/>
      <c r="C1" s="9"/>
      <c r="D1" s="9"/>
      <c r="E1" s="9"/>
      <c r="F1" s="9"/>
    </row>
    <row r="2" spans="1:10" x14ac:dyDescent="0.25">
      <c r="A2" s="1" t="s">
        <v>1</v>
      </c>
      <c r="B2" s="1" t="s">
        <v>2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10" x14ac:dyDescent="0.25">
      <c r="A3" s="2">
        <v>1</v>
      </c>
      <c r="B3" s="2" t="s">
        <v>5</v>
      </c>
      <c r="C3" s="2" t="s">
        <v>14</v>
      </c>
      <c r="D3" s="2">
        <v>25000</v>
      </c>
      <c r="E3" s="2">
        <f>SUMIF(Sheet1!B3:B100, "Akshay", Sheet1!D3:D100)</f>
        <v>25000</v>
      </c>
      <c r="F3" s="2">
        <f>D3 - E3</f>
        <v>0</v>
      </c>
    </row>
    <row r="4" spans="1:10" x14ac:dyDescent="0.25">
      <c r="A4" s="2">
        <v>2</v>
      </c>
      <c r="B4" s="2" t="s">
        <v>6</v>
      </c>
      <c r="C4" s="2" t="s">
        <v>15</v>
      </c>
      <c r="D4" s="2">
        <v>35000</v>
      </c>
      <c r="E4" s="2">
        <f>SUMIF(Sheet1!B4:B100, "Milan", Sheet1!D4:D100)</f>
        <v>5000</v>
      </c>
      <c r="F4" s="2">
        <f t="shared" ref="F4:F6" si="0">D4 - E4</f>
        <v>30000</v>
      </c>
    </row>
    <row r="5" spans="1:10" x14ac:dyDescent="0.25">
      <c r="A5" s="2">
        <v>3</v>
      </c>
      <c r="B5" s="2" t="s">
        <v>7</v>
      </c>
      <c r="C5" s="2" t="s">
        <v>16</v>
      </c>
      <c r="D5" s="2">
        <v>22000</v>
      </c>
      <c r="E5" s="2">
        <f>SUMIF(Sheet1!B5:B100, "Jaydeep", Sheet1!D5:D100)</f>
        <v>20000</v>
      </c>
      <c r="F5" s="2">
        <f t="shared" si="0"/>
        <v>2000</v>
      </c>
    </row>
    <row r="6" spans="1:10" x14ac:dyDescent="0.25">
      <c r="A6" s="2">
        <v>4</v>
      </c>
      <c r="B6" s="2" t="s">
        <v>8</v>
      </c>
      <c r="C6" s="2" t="s">
        <v>14</v>
      </c>
      <c r="D6" s="2">
        <v>25000</v>
      </c>
      <c r="E6" s="2">
        <f>SUMIF(Sheet1!B6:B100, "Rajesh", Sheet1!D6:D100)</f>
        <v>24000</v>
      </c>
      <c r="F6" s="2">
        <f t="shared" si="0"/>
        <v>1000</v>
      </c>
    </row>
    <row r="9" spans="1:10" x14ac:dyDescent="0.25">
      <c r="J9" s="12" t="s">
        <v>31</v>
      </c>
    </row>
    <row r="10" spans="1:10" x14ac:dyDescent="0.25">
      <c r="J10" t="s">
        <v>32</v>
      </c>
    </row>
    <row r="11" spans="1:10" x14ac:dyDescent="0.25">
      <c r="J11" t="s">
        <v>33</v>
      </c>
    </row>
    <row r="12" spans="1:10" x14ac:dyDescent="0.25">
      <c r="J12" t="s">
        <v>34</v>
      </c>
    </row>
    <row r="13" spans="1:10" x14ac:dyDescent="0.25">
      <c r="J13" t="s">
        <v>35</v>
      </c>
    </row>
    <row r="14" spans="1:10" x14ac:dyDescent="0.25">
      <c r="J14" t="s">
        <v>36</v>
      </c>
    </row>
    <row r="15" spans="1:10" x14ac:dyDescent="0.25">
      <c r="J15" t="s">
        <v>37</v>
      </c>
    </row>
    <row r="16" spans="1:10" x14ac:dyDescent="0.25">
      <c r="J16" t="s">
        <v>38</v>
      </c>
    </row>
    <row r="17" spans="10:10" x14ac:dyDescent="0.25">
      <c r="J17" t="s">
        <v>39</v>
      </c>
    </row>
    <row r="18" spans="10:10" x14ac:dyDescent="0.25">
      <c r="J18" t="s">
        <v>40</v>
      </c>
    </row>
    <row r="19" spans="10:10" x14ac:dyDescent="0.25">
      <c r="J19" t="s">
        <v>41</v>
      </c>
    </row>
    <row r="20" spans="10:10" x14ac:dyDescent="0.25">
      <c r="J20" t="s">
        <v>42</v>
      </c>
    </row>
    <row r="21" spans="10:10" x14ac:dyDescent="0.25">
      <c r="J21" t="s">
        <v>43</v>
      </c>
    </row>
    <row r="22" spans="10:10" x14ac:dyDescent="0.25">
      <c r="J22" t="s">
        <v>44</v>
      </c>
    </row>
    <row r="23" spans="10:10" x14ac:dyDescent="0.25">
      <c r="J23" t="s">
        <v>45</v>
      </c>
    </row>
    <row r="24" spans="10:10" x14ac:dyDescent="0.25">
      <c r="J24" t="s">
        <v>46</v>
      </c>
    </row>
    <row r="25" spans="10:10" x14ac:dyDescent="0.25">
      <c r="J25" t="s">
        <v>47</v>
      </c>
    </row>
    <row r="26" spans="10:10" x14ac:dyDescent="0.25">
      <c r="J26" t="s">
        <v>48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T12" sqref="T12"/>
    </sheetView>
  </sheetViews>
  <sheetFormatPr defaultRowHeight="15" x14ac:dyDescent="0.25"/>
  <cols>
    <col min="1" max="1" width="3.5703125" customWidth="1"/>
    <col min="2" max="2" width="7.140625" customWidth="1"/>
    <col min="3" max="21" width="3.7109375" customWidth="1"/>
  </cols>
  <sheetData>
    <row r="1" spans="1:21" ht="18.75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59.25" x14ac:dyDescent="0.25">
      <c r="A2" s="4">
        <v>43922</v>
      </c>
      <c r="B2" s="4"/>
      <c r="C2" s="5" t="s">
        <v>18</v>
      </c>
      <c r="D2" s="5" t="s">
        <v>19</v>
      </c>
      <c r="E2" s="5" t="s">
        <v>28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18</v>
      </c>
      <c r="K2" s="5" t="s">
        <v>19</v>
      </c>
      <c r="L2" s="5" t="s">
        <v>28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18</v>
      </c>
      <c r="R2" s="5" t="s">
        <v>19</v>
      </c>
      <c r="S2" s="6" t="s">
        <v>24</v>
      </c>
      <c r="T2" s="6"/>
      <c r="U2" s="6"/>
    </row>
    <row r="3" spans="1:21" x14ac:dyDescent="0.25">
      <c r="A3" s="7" t="s">
        <v>1</v>
      </c>
      <c r="B3" s="7" t="s">
        <v>2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 t="s">
        <v>29</v>
      </c>
      <c r="T3" s="7" t="s">
        <v>30</v>
      </c>
      <c r="U3" s="7" t="s">
        <v>27</v>
      </c>
    </row>
    <row r="4" spans="1:21" x14ac:dyDescent="0.25">
      <c r="A4" s="7">
        <v>1</v>
      </c>
      <c r="B4" s="7" t="s">
        <v>6</v>
      </c>
      <c r="C4" s="7" t="s">
        <v>27</v>
      </c>
      <c r="D4" s="7" t="s">
        <v>29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7" t="s">
        <v>27</v>
      </c>
      <c r="K4" s="7" t="s">
        <v>30</v>
      </c>
      <c r="L4" s="7" t="s">
        <v>29</v>
      </c>
      <c r="M4" s="7" t="s">
        <v>29</v>
      </c>
      <c r="N4" s="7" t="s">
        <v>29</v>
      </c>
      <c r="O4" s="7" t="s">
        <v>29</v>
      </c>
      <c r="P4" s="7" t="s">
        <v>29</v>
      </c>
      <c r="Q4" s="7" t="s">
        <v>27</v>
      </c>
      <c r="R4" s="7" t="s">
        <v>29</v>
      </c>
      <c r="S4" s="7">
        <f>COUNTIF(C4:R4, "P")</f>
        <v>12</v>
      </c>
      <c r="T4" s="7">
        <f>COUNTIF(D4:S4, "A")</f>
        <v>1</v>
      </c>
      <c r="U4" s="7">
        <f>COUNTIF(E4:T4, "H")</f>
        <v>2</v>
      </c>
    </row>
    <row r="5" spans="1:21" x14ac:dyDescent="0.25">
      <c r="A5" s="7">
        <v>2</v>
      </c>
      <c r="B5" s="7" t="s">
        <v>25</v>
      </c>
      <c r="C5" s="7" t="s">
        <v>27</v>
      </c>
      <c r="D5" s="7" t="s">
        <v>29</v>
      </c>
      <c r="E5" s="7" t="s">
        <v>29</v>
      </c>
      <c r="F5" s="7" t="s">
        <v>29</v>
      </c>
      <c r="G5" s="7" t="s">
        <v>29</v>
      </c>
      <c r="H5" s="7" t="s">
        <v>29</v>
      </c>
      <c r="I5" s="7" t="s">
        <v>29</v>
      </c>
      <c r="J5" s="7" t="s">
        <v>27</v>
      </c>
      <c r="K5" s="7" t="s">
        <v>30</v>
      </c>
      <c r="L5" s="7" t="s">
        <v>29</v>
      </c>
      <c r="M5" s="7" t="s">
        <v>29</v>
      </c>
      <c r="N5" s="7" t="s">
        <v>29</v>
      </c>
      <c r="O5" s="7" t="s">
        <v>29</v>
      </c>
      <c r="P5" s="7" t="s">
        <v>29</v>
      </c>
      <c r="Q5" s="7" t="s">
        <v>27</v>
      </c>
      <c r="R5" s="7" t="s">
        <v>29</v>
      </c>
      <c r="S5" s="7">
        <f t="shared" ref="S5:S7" si="0">COUNTIF(C5:R5, "P")</f>
        <v>12</v>
      </c>
      <c r="T5" s="7">
        <f t="shared" ref="T5:T7" si="1">COUNTIF(D5:S5, "A")</f>
        <v>1</v>
      </c>
      <c r="U5" s="7">
        <f t="shared" ref="U5:U7" si="2">COUNTIF(E5:T5, "H")</f>
        <v>2</v>
      </c>
    </row>
    <row r="6" spans="1:21" x14ac:dyDescent="0.25">
      <c r="A6" s="7">
        <v>3</v>
      </c>
      <c r="B6" s="7" t="s">
        <v>26</v>
      </c>
      <c r="C6" s="7" t="s">
        <v>27</v>
      </c>
      <c r="D6" s="7" t="s">
        <v>29</v>
      </c>
      <c r="E6" s="7" t="s">
        <v>29</v>
      </c>
      <c r="F6" s="7" t="s">
        <v>29</v>
      </c>
      <c r="G6" s="7" t="s">
        <v>29</v>
      </c>
      <c r="H6" s="7" t="s">
        <v>29</v>
      </c>
      <c r="I6" s="7" t="s">
        <v>29</v>
      </c>
      <c r="J6" s="7" t="s">
        <v>27</v>
      </c>
      <c r="K6" s="7" t="s">
        <v>30</v>
      </c>
      <c r="L6" s="7" t="s">
        <v>29</v>
      </c>
      <c r="M6" s="7" t="s">
        <v>29</v>
      </c>
      <c r="N6" s="7" t="s">
        <v>29</v>
      </c>
      <c r="O6" s="7" t="s">
        <v>29</v>
      </c>
      <c r="P6" s="7" t="s">
        <v>29</v>
      </c>
      <c r="Q6" s="7" t="s">
        <v>27</v>
      </c>
      <c r="R6" s="7" t="s">
        <v>29</v>
      </c>
      <c r="S6" s="7">
        <f t="shared" si="0"/>
        <v>12</v>
      </c>
      <c r="T6" s="7">
        <f t="shared" si="1"/>
        <v>1</v>
      </c>
      <c r="U6" s="7">
        <f t="shared" si="2"/>
        <v>2</v>
      </c>
    </row>
    <row r="7" spans="1:21" x14ac:dyDescent="0.25">
      <c r="A7" s="11">
        <v>4</v>
      </c>
      <c r="B7" s="11" t="s">
        <v>5</v>
      </c>
      <c r="C7" s="11" t="s">
        <v>27</v>
      </c>
      <c r="D7" s="11" t="s">
        <v>29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29</v>
      </c>
      <c r="J7" s="11" t="s">
        <v>27</v>
      </c>
      <c r="K7" s="11" t="s">
        <v>29</v>
      </c>
      <c r="L7" s="11" t="s">
        <v>29</v>
      </c>
      <c r="M7" s="11" t="s">
        <v>29</v>
      </c>
      <c r="N7" s="11" t="s">
        <v>30</v>
      </c>
      <c r="O7" s="11" t="s">
        <v>30</v>
      </c>
      <c r="P7" s="11" t="s">
        <v>29</v>
      </c>
      <c r="Q7" s="11" t="s">
        <v>27</v>
      </c>
      <c r="R7" s="11" t="s">
        <v>29</v>
      </c>
      <c r="S7" s="7">
        <f t="shared" si="0"/>
        <v>11</v>
      </c>
      <c r="T7" s="7">
        <f t="shared" si="1"/>
        <v>2</v>
      </c>
      <c r="U7" s="7">
        <f t="shared" si="2"/>
        <v>2</v>
      </c>
    </row>
  </sheetData>
  <mergeCells count="3">
    <mergeCell ref="A2:B2"/>
    <mergeCell ref="S2:U2"/>
    <mergeCell ref="A1:U1"/>
  </mergeCells>
  <conditionalFormatting sqref="C2:R7">
    <cfRule type="cellIs" dxfId="0" priority="3" operator="equal">
      <formula>"Sunday"</formula>
    </cfRule>
    <cfRule type="cellIs" dxfId="1" priority="2" operator="equal">
      <formula>"H"</formula>
    </cfRule>
    <cfRule type="cellIs" dxfId="2" priority="1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PC9</dc:creator>
  <cp:lastModifiedBy>PC9</cp:lastModifiedBy>
  <dcterms:created xsi:type="dcterms:W3CDTF">2026-04-21T03:55:52Z</dcterms:created>
  <dcterms:modified xsi:type="dcterms:W3CDTF">2026-04-21T05:47:43Z</dcterms:modified>
</cp:coreProperties>
</file>